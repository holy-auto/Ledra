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管理台帳" sheetId="1" state="visible" r:id="rId1"/>
    <sheet name="説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0" customWidth="1" min="4" max="4"/>
    <col width="18" customWidth="1" min="5" max="5"/>
    <col width="9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13" customWidth="1" min="13" max="13"/>
    <col width="12" customWidth="1" min="14" max="14"/>
    <col width="13" customWidth="1" min="15" max="15"/>
    <col width="16" customWidth="1" min="16" max="16"/>
    <col width="34" customWidth="1" min="17" max="17"/>
  </cols>
  <sheetData>
    <row r="1">
      <c r="A1" s="1" t="inlineStr">
        <is>
          <t>整理番号</t>
        </is>
      </c>
      <c r="B1" s="1" t="inlineStr">
        <is>
          <t>発明</t>
        </is>
      </c>
      <c r="C1" s="1" t="inlineStr">
        <is>
          <t>出願人</t>
        </is>
      </c>
      <c r="D1" s="1" t="inlineStr">
        <is>
          <t>代表者</t>
        </is>
      </c>
      <c r="E1" s="1" t="inlineStr">
        <is>
          <t>連絡先</t>
        </is>
      </c>
      <c r="F1" s="1" t="inlineStr">
        <is>
          <t>出願種別</t>
        </is>
      </c>
      <c r="G1" s="1" t="inlineStr">
        <is>
          <t>出願日</t>
        </is>
      </c>
      <c r="H1" s="1" t="inlineStr">
        <is>
          <t>公開予定</t>
        </is>
      </c>
      <c r="I1" s="1" t="inlineStr">
        <is>
          <t>審査請求期限</t>
        </is>
      </c>
      <c r="J1" s="1" t="inlineStr">
        <is>
          <t>30条主張</t>
        </is>
      </c>
      <c r="K1" s="1" t="inlineStr">
        <is>
          <t>30条証明書提出期限</t>
        </is>
      </c>
      <c r="L1" s="1" t="inlineStr">
        <is>
          <t>優先期限</t>
        </is>
      </c>
      <c r="M1" s="1" t="inlineStr">
        <is>
          <t>PCT移行期限</t>
        </is>
      </c>
      <c r="N1" s="1" t="inlineStr">
        <is>
          <t>登録日</t>
        </is>
      </c>
      <c r="O1" s="1" t="inlineStr">
        <is>
          <t>次回年金期限</t>
        </is>
      </c>
      <c r="P1" s="1" t="inlineStr">
        <is>
          <t>ステータス</t>
        </is>
      </c>
      <c r="Q1" s="1" t="inlineStr">
        <is>
          <t>メモ</t>
        </is>
      </c>
    </row>
    <row r="2">
      <c r="A2" t="inlineStr">
        <is>
          <t>HA-ZKP-001</t>
        </is>
      </c>
      <c r="B2" t="inlineStr">
        <is>
          <t>発明06 ZKP選択的開示</t>
        </is>
      </c>
      <c r="C2" t="inlineStr">
        <is>
          <t>株式会社HOLY</t>
        </is>
      </c>
      <c r="D2" t="inlineStr">
        <is>
          <t>堀越 友輔</t>
        </is>
      </c>
      <c r="E2" t="inlineStr">
        <is>
          <t>info@ledra.co.jp</t>
        </is>
      </c>
      <c r="F2" t="inlineStr">
        <is>
          <t>国内</t>
        </is>
      </c>
      <c r="G2" s="2" t="n"/>
      <c r="H2" s="2">
        <f>IF(G2="","",EDATE(G2,18))</f>
        <v/>
      </c>
      <c r="I2" s="2">
        <f>IF(G2="","",EDATE(G2,36))</f>
        <v/>
      </c>
      <c r="J2" t="inlineStr">
        <is>
          <t>不要</t>
        </is>
      </c>
      <c r="K2" s="2">
        <f>IF(G2="","",IF(LEFT(J2,1)="要",G2+30,""))</f>
        <v/>
      </c>
      <c r="L2" s="2">
        <f>IF(G2="","",EDATE(G2,12))</f>
        <v/>
      </c>
      <c r="M2" s="2">
        <f>IF(G2="","",EDATE(G2,31))</f>
        <v/>
      </c>
      <c r="N2" s="2" t="n"/>
      <c r="O2" s="2" t="n"/>
      <c r="P2" t="inlineStr">
        <is>
          <t>出願準備</t>
        </is>
      </c>
      <c r="Q2" t="inlineStr">
        <is>
          <t>本命・公開凍結維持</t>
        </is>
      </c>
    </row>
    <row r="3">
      <c r="A3" t="inlineStr">
        <is>
          <t>HA-GATE-001</t>
        </is>
      </c>
      <c r="B3" t="inlineStr">
        <is>
          <t>発明07 確定ゲート</t>
        </is>
      </c>
      <c r="C3" t="inlineStr">
        <is>
          <t>株式会社HOLY</t>
        </is>
      </c>
      <c r="D3" t="inlineStr">
        <is>
          <t>堀越 友輔</t>
        </is>
      </c>
      <c r="E3" t="inlineStr">
        <is>
          <t>info@ledra.co.jp</t>
        </is>
      </c>
      <c r="F3" t="inlineStr">
        <is>
          <t>国内</t>
        </is>
      </c>
      <c r="G3" s="2" t="n"/>
      <c r="H3" s="2">
        <f>IF(G3="","",EDATE(G3,18))</f>
        <v/>
      </c>
      <c r="I3" s="2">
        <f>IF(G3="","",EDATE(G3,36))</f>
        <v/>
      </c>
      <c r="J3" t="inlineStr">
        <is>
          <t>不要</t>
        </is>
      </c>
      <c r="K3" s="2">
        <f>IF(G3="","",IF(LEFT(J3,1)="要",G3+30,""))</f>
        <v/>
      </c>
      <c r="L3" s="2">
        <f>IF(G3="","",EDATE(G3,12))</f>
        <v/>
      </c>
      <c r="M3" s="2">
        <f>IF(G3="","",EDATE(G3,31))</f>
        <v/>
      </c>
      <c r="N3" s="2" t="n"/>
      <c r="O3" s="2" t="n"/>
      <c r="P3" t="inlineStr">
        <is>
          <t>出願準備</t>
        </is>
      </c>
      <c r="Q3" t="inlineStr">
        <is>
          <t>防御の堀・公開凍結維持</t>
        </is>
      </c>
    </row>
    <row r="4">
      <c r="A4" t="inlineStr">
        <is>
          <t>HA-META-001</t>
        </is>
      </c>
      <c r="B4" t="inlineStr">
        <is>
          <t>発明01 メタアンカー</t>
        </is>
      </c>
      <c r="C4" t="inlineStr">
        <is>
          <t>株式会社HOLY</t>
        </is>
      </c>
      <c r="D4" t="inlineStr">
        <is>
          <t>堀越 友輔</t>
        </is>
      </c>
      <c r="E4" t="inlineStr">
        <is>
          <t>info@ledra.co.jp</t>
        </is>
      </c>
      <c r="F4" t="inlineStr">
        <is>
          <t>国内</t>
        </is>
      </c>
      <c r="G4" s="2" t="n"/>
      <c r="H4" s="2">
        <f>IF(G4="","",EDATE(G4,18))</f>
        <v/>
      </c>
      <c r="I4" s="2">
        <f>IF(G4="","",EDATE(G4,36))</f>
        <v/>
      </c>
      <c r="J4" t="inlineStr">
        <is>
          <t>要(自社開示)</t>
        </is>
      </c>
      <c r="K4" s="2">
        <f>IF(G4="","",IF(LEFT(J4,1)="要",G4+30,""))</f>
        <v/>
      </c>
      <c r="L4" s="2">
        <f>IF(G4="","",EDATE(G4,12))</f>
        <v/>
      </c>
      <c r="M4" s="2">
        <f>IF(G4="","",EDATE(G4,31))</f>
        <v/>
      </c>
      <c r="N4" s="2" t="n"/>
      <c r="O4" s="2" t="n"/>
      <c r="P4" t="inlineStr">
        <is>
          <t>出願準備(30条要確定)</t>
        </is>
      </c>
      <c r="Q4" t="inlineStr">
        <is>
          <t>独立項は機構限定／外国は猶予なし=機構限定で出願</t>
        </is>
      </c>
    </row>
    <row r="5">
      <c r="A5" t="inlineStr">
        <is>
          <t>HA-PIPE-001</t>
        </is>
      </c>
      <c r="B5" t="inlineStr">
        <is>
          <t>統合(任意)</t>
        </is>
      </c>
      <c r="C5" t="inlineStr">
        <is>
          <t>株式会社HOLY</t>
        </is>
      </c>
      <c r="D5" t="inlineStr">
        <is>
          <t>堀越 友輔</t>
        </is>
      </c>
      <c r="E5" t="inlineStr">
        <is>
          <t>info@ledra.co.jp</t>
        </is>
      </c>
      <c r="F5" t="inlineStr">
        <is>
          <t>国内</t>
        </is>
      </c>
      <c r="G5" s="2" t="n"/>
      <c r="H5" s="2">
        <f>IF(G5="","",EDATE(G5,18))</f>
        <v/>
      </c>
      <c r="I5" s="2">
        <f>IF(G5="","",EDATE(G5,36))</f>
        <v/>
      </c>
      <c r="J5" t="inlineStr">
        <is>
          <t>要確認</t>
        </is>
      </c>
      <c r="K5" s="2">
        <f>IF(G5="","",IF(LEFT(J5,1)="要",G5+30,""))</f>
        <v/>
      </c>
      <c r="L5" s="2">
        <f>IF(G5="","",EDATE(G5,12))</f>
        <v/>
      </c>
      <c r="M5" s="2">
        <f>IF(G5="","",EDATE(G5,31))</f>
        <v/>
      </c>
      <c r="N5" s="2" t="n"/>
      <c r="O5" s="2" t="n"/>
      <c r="P5" t="inlineStr">
        <is>
          <t>保留(単一性)</t>
        </is>
      </c>
      <c r="Q5" t="inlineStr">
        <is>
          <t>個別3出願を優先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出願管理台帳 — 説明</t>
        </is>
      </c>
      <c r="B1" t="inlineStr"/>
    </row>
    <row r="2">
      <c r="A2" s="4" t="inlineStr"/>
      <c r="B2" t="inlineStr"/>
    </row>
    <row r="3">
      <c r="A3" s="4" t="inlineStr">
        <is>
          <t>使い方</t>
        </is>
      </c>
      <c r="B3" t="inlineStr">
        <is>
          <t>各行の『出願日』に日付を入れると、公開予定/審査請求期限/30条/優先/PCT移行が自動計算される。</t>
        </is>
      </c>
    </row>
    <row r="4">
      <c r="A4" s="4" t="inlineStr">
        <is>
          <t>公開予定</t>
        </is>
      </c>
      <c r="B4">
        <f> EDATE(出願日,18)  出願公開(出願日+1年6月で自動公開)</f>
        <v/>
      </c>
    </row>
    <row r="5">
      <c r="A5" s="4" t="inlineStr">
        <is>
          <t>審査請求期限</t>
        </is>
      </c>
      <c r="B5">
        <f> EDATE(出願日,36)  出願日+3年。徒過で取下げ擬制</f>
        <v/>
      </c>
    </row>
    <row r="6">
      <c r="A6" s="4" t="inlineStr">
        <is>
          <t>30条証明書提出期限</t>
        </is>
      </c>
      <c r="B6">
        <f> 出願日+30  30条主張時のみ(発明01)。実務上30日・要確認</f>
        <v/>
      </c>
    </row>
    <row r="7">
      <c r="A7" s="4" t="inlineStr">
        <is>
          <t>優先期限</t>
        </is>
      </c>
      <c r="B7">
        <f> EDATE(出願日,12)  パリ優先・PCT/外国出願の最終期限</f>
        <v/>
      </c>
    </row>
    <row r="8">
      <c r="A8" s="4" t="inlineStr">
        <is>
          <t>PCT移行期限</t>
        </is>
      </c>
      <c r="B8">
        <f> EDATE(出願日,31)  優先日基準(国により30/31月)</f>
        <v/>
      </c>
    </row>
    <row r="9">
      <c r="A9" s="4" t="inlineStr">
        <is>
          <t>年金期限</t>
        </is>
      </c>
      <c r="B9" t="inlineStr">
        <is>
          <t>登録後の特許料納付期限。登録日確定後に手動記入</t>
        </is>
      </c>
    </row>
    <row r="10">
      <c r="A10" s="4" t="inlineStr"/>
      <c r="B10" t="inlineStr"/>
    </row>
    <row r="11">
      <c r="A11" s="4" t="inlineStr">
        <is>
          <t>出願人</t>
        </is>
      </c>
      <c r="B11" t="inlineStr">
        <is>
          <t>株式会社HOLY（登記商号。願書の出願人名は登記と完全一致が必須）</t>
        </is>
      </c>
    </row>
    <row r="12">
      <c r="A12" s="4" t="inlineStr">
        <is>
          <t>代表者</t>
        </is>
      </c>
      <c r="B12" t="inlineStr">
        <is>
          <t>堀越 友輔</t>
        </is>
      </c>
    </row>
    <row r="13">
      <c r="A13" s="4" t="inlineStr">
        <is>
          <t>連絡先</t>
        </is>
      </c>
      <c r="B13" t="inlineStr">
        <is>
          <t>info@ledra.co.jp</t>
        </is>
      </c>
    </row>
    <row r="14">
      <c r="A14" s="4" t="inlineStr">
        <is>
          <t>所在地</t>
        </is>
      </c>
      <c r="B14" t="inlineStr">
        <is>
          <t>〒107-0061 東京都港区北青山1-3-1 アールキューブ青山3F</t>
        </is>
      </c>
    </row>
    <row r="15">
      <c r="A15" s="4" t="inlineStr">
        <is>
          <t>注意</t>
        </is>
      </c>
      <c r="B15" t="inlineStr">
        <is>
          <t>月数/日数・現行料金は特許庁(JPO)で要確認。30条は発明01のみ(自社開示)。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2026-06-14T13:50:46Z</dcterms:created>
  <dcterms:modified xsi:type="dcterms:W3CDTF">2026-06-14T13:50:46Z</dcterms:modified>
</cp:coreProperties>
</file>